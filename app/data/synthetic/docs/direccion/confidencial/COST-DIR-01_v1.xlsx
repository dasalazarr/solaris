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C 2025" sheetId="1" state="visible" r:id="rId1"/>
    <sheet xmlns:r="http://schemas.openxmlformats.org/officeDocument/2006/relationships" name="Margen por cl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3" customWidth="1" min="4" max="4"/>
    <col width="12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Costes de no calidad externos 2025 — CONFIDENCIAL (Dirección)</t>
        </is>
      </c>
    </row>
    <row r="2">
      <c r="A2" s="2" t="inlineStr">
        <is>
          <t>Código</t>
        </is>
      </c>
      <c r="B2" s="3" t="inlineStr">
        <is>
          <t>COST-DIR-01 · v1</t>
        </is>
      </c>
    </row>
    <row r="3">
      <c r="A3" s="2" t="inlineStr">
        <is>
          <t>Fecha</t>
        </is>
      </c>
      <c r="B3" s="3" t="inlineStr">
        <is>
          <t>31/01/2026</t>
        </is>
      </c>
    </row>
    <row r="4">
      <c r="A4" s="2" t="inlineStr">
        <is>
          <t>Elaborado</t>
        </is>
      </c>
      <c r="B4" s="3" t="inlineStr">
        <is>
          <t>Control de gestión</t>
        </is>
      </c>
    </row>
    <row r="5">
      <c r="A5" s="2" t="inlineStr">
        <is>
          <t>Distribución</t>
        </is>
      </c>
      <c r="B5" s="3" t="inlineStr">
        <is>
          <t>Dirección general (J. Mendia). No difundir.</t>
        </is>
      </c>
    </row>
    <row r="7">
      <c r="A7" s="4" t="inlineStr">
        <is>
          <t>8D</t>
        </is>
      </c>
      <c r="B7" s="4" t="inlineStr">
        <is>
          <t>Cliente</t>
        </is>
      </c>
      <c r="C7" s="4" t="inlineStr">
        <is>
          <t>Ref.</t>
        </is>
      </c>
      <c r="D7" s="4" t="inlineStr">
        <is>
          <t>Selección (€)</t>
        </is>
      </c>
      <c r="E7" s="4" t="inlineStr">
        <is>
          <t>Chatarra (€)</t>
        </is>
      </c>
      <c r="F7" s="4" t="inlineStr">
        <is>
          <t>Transporte urgente (€)</t>
        </is>
      </c>
      <c r="G7" s="4" t="inlineStr">
        <is>
          <t>Cargo del cliente (€)</t>
        </is>
      </c>
      <c r="H7" s="4" t="inlineStr">
        <is>
          <t>Horas internas (€)</t>
        </is>
      </c>
      <c r="I7" s="4" t="inlineStr">
        <is>
          <t>Total (€)</t>
        </is>
      </c>
    </row>
    <row r="8">
      <c r="A8" s="5" t="inlineStr">
        <is>
          <t>8D-ARGA-2025-002</t>
        </is>
      </c>
      <c r="B8" s="5" t="inlineStr">
        <is>
          <t>C-OEMN</t>
        </is>
      </c>
      <c r="C8" s="5" t="inlineStr">
        <is>
          <t>AR-1003</t>
        </is>
      </c>
      <c r="D8" s="5" t="n">
        <v>6800</v>
      </c>
      <c r="E8" s="5" t="n">
        <v>1900</v>
      </c>
      <c r="F8" s="5" t="n">
        <v>1200</v>
      </c>
      <c r="G8" s="5" t="n">
        <v>12500</v>
      </c>
      <c r="H8" s="5" t="n">
        <v>3400</v>
      </c>
      <c r="I8" s="5" t="n">
        <v>25800</v>
      </c>
    </row>
    <row r="9">
      <c r="A9" s="5" t="inlineStr">
        <is>
          <t>8D-ARGA-2025-005</t>
        </is>
      </c>
      <c r="B9" s="5" t="inlineStr">
        <is>
          <t>C-RIBE</t>
        </is>
      </c>
      <c r="C9" s="5" t="inlineStr">
        <is>
          <t>AR-1005</t>
        </is>
      </c>
      <c r="D9" s="5" t="n">
        <v>2100</v>
      </c>
      <c r="E9" s="5" t="n">
        <v>1400</v>
      </c>
      <c r="F9" s="5" t="n">
        <v>600</v>
      </c>
      <c r="G9" s="5" t="n">
        <v>0</v>
      </c>
      <c r="H9" s="5" t="n">
        <v>2600</v>
      </c>
      <c r="I9" s="5" t="n">
        <v>6700</v>
      </c>
    </row>
    <row r="10">
      <c r="A10" s="5" t="inlineStr">
        <is>
          <t>8D-ARGA-2025-006</t>
        </is>
      </c>
      <c r="B10" s="5" t="inlineStr">
        <is>
          <t>C-RIBE</t>
        </is>
      </c>
      <c r="C10" s="5" t="inlineStr">
        <is>
          <t>AR-1002</t>
        </is>
      </c>
      <c r="D10" s="5" t="n">
        <v>3900</v>
      </c>
      <c r="E10" s="5" t="n">
        <v>1100</v>
      </c>
      <c r="F10" s="5" t="n">
        <v>400</v>
      </c>
      <c r="G10" s="5" t="n">
        <v>2500</v>
      </c>
      <c r="H10" s="5" t="n">
        <v>1800</v>
      </c>
      <c r="I10" s="5" t="n">
        <v>9700</v>
      </c>
    </row>
    <row r="11">
      <c r="A11" s="5" t="inlineStr">
        <is>
          <t>8D-ARGA-2025-008</t>
        </is>
      </c>
      <c r="B11" s="5" t="inlineStr">
        <is>
          <t>C-OEMN</t>
        </is>
      </c>
      <c r="C11" s="5" t="inlineStr">
        <is>
          <t>AR-1010</t>
        </is>
      </c>
      <c r="D11" s="5" t="n">
        <v>4200</v>
      </c>
      <c r="E11" s="5" t="n">
        <v>900</v>
      </c>
      <c r="F11" s="5" t="n">
        <v>800</v>
      </c>
      <c r="G11" s="5" t="n">
        <v>8000</v>
      </c>
      <c r="H11" s="5" t="n">
        <v>2900</v>
      </c>
      <c r="I11" s="5" t="n">
        <v>16800</v>
      </c>
    </row>
    <row r="12">
      <c r="A12" s="5" t="inlineStr">
        <is>
          <t>8D-ARGA-2025-010</t>
        </is>
      </c>
      <c r="B12" s="5" t="inlineStr">
        <is>
          <t>C-LEIZ</t>
        </is>
      </c>
      <c r="C12" s="5" t="inlineStr">
        <is>
          <t>AR-1007</t>
        </is>
      </c>
      <c r="D12" s="5" t="n">
        <v>5600</v>
      </c>
      <c r="E12" s="5" t="n">
        <v>2300</v>
      </c>
      <c r="F12" s="5" t="n">
        <v>700</v>
      </c>
      <c r="G12" s="5" t="n">
        <v>6000</v>
      </c>
      <c r="H12" s="5" t="n">
        <v>2400</v>
      </c>
      <c r="I12" s="5" t="n">
        <v>17000</v>
      </c>
    </row>
    <row r="13">
      <c r="A13" s="5" t="inlineStr">
        <is>
          <t>8D-ARGA-2025-011</t>
        </is>
      </c>
      <c r="B13" s="5" t="inlineStr">
        <is>
          <t>C-OEMN</t>
        </is>
      </c>
      <c r="C13" s="5" t="inlineStr">
        <is>
          <t>AR-1001</t>
        </is>
      </c>
      <c r="D13" s="5" t="n">
        <v>3300</v>
      </c>
      <c r="E13" s="5" t="n">
        <v>700</v>
      </c>
      <c r="F13" s="5" t="n">
        <v>900</v>
      </c>
      <c r="G13" s="5" t="n">
        <v>5000</v>
      </c>
      <c r="H13" s="5" t="n">
        <v>1700</v>
      </c>
      <c r="I13" s="5" t="n">
        <v>11600</v>
      </c>
    </row>
    <row r="14">
      <c r="A14" s="5" t="inlineStr">
        <is>
          <t>8D-ARGA-2025-014</t>
        </is>
      </c>
      <c r="B14" s="5" t="inlineStr">
        <is>
          <t>C-OEMN</t>
        </is>
      </c>
      <c r="C14" s="5" t="inlineStr">
        <is>
          <t>AR-1003</t>
        </is>
      </c>
      <c r="D14" s="5" t="n">
        <v>7400</v>
      </c>
      <c r="E14" s="5" t="n">
        <v>800</v>
      </c>
      <c r="F14" s="5" t="n">
        <v>1500</v>
      </c>
      <c r="G14" s="5" t="n">
        <v>15000</v>
      </c>
      <c r="H14" s="5" t="n">
        <v>3800</v>
      </c>
      <c r="I14" s="5" t="n">
        <v>28500</v>
      </c>
    </row>
    <row r="15">
      <c r="A15" s="5" t="inlineStr">
        <is>
          <t>8D-ARGA-2025-015</t>
        </is>
      </c>
      <c r="B15" s="5" t="inlineStr">
        <is>
          <t>C-RIBE</t>
        </is>
      </c>
      <c r="C15" s="5" t="inlineStr">
        <is>
          <t>AR-1012</t>
        </is>
      </c>
      <c r="D15" s="5" t="n">
        <v>4900</v>
      </c>
      <c r="E15" s="5" t="n">
        <v>450</v>
      </c>
      <c r="F15" s="5" t="n">
        <v>300</v>
      </c>
      <c r="G15" s="5" t="n">
        <v>3500</v>
      </c>
      <c r="H15" s="5" t="n">
        <v>1500</v>
      </c>
      <c r="I15" s="5" t="n">
        <v>10650</v>
      </c>
    </row>
    <row r="16">
      <c r="A16" s="5" t="inlineStr">
        <is>
          <t>TOTAL</t>
        </is>
      </c>
      <c r="B16" s="5" t="inlineStr"/>
      <c r="C16" s="5" t="inlineStr"/>
      <c r="D16" s="5" t="n">
        <v>38200</v>
      </c>
      <c r="E16" s="5" t="n">
        <v>9550</v>
      </c>
      <c r="F16" s="5" t="n">
        <v>6400</v>
      </c>
      <c r="G16" s="5" t="n">
        <v>52500</v>
      </c>
      <c r="H16" s="5" t="n">
        <v>20100</v>
      </c>
      <c r="I16" s="5" t="n">
        <v>126750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Cliente</t>
        </is>
      </c>
      <c r="B1" s="4" t="inlineStr">
        <is>
          <t>Ventas 2025 (k€)</t>
        </is>
      </c>
      <c r="C1" s="4" t="inlineStr">
        <is>
          <t>Margen bruto (%)</t>
        </is>
      </c>
      <c r="D1" s="4" t="inlineStr">
        <is>
          <t>CNC externo (k€)</t>
        </is>
      </c>
      <c r="E1" s="4" t="inlineStr">
        <is>
          <t>CNC / ventas (%)</t>
        </is>
      </c>
    </row>
    <row r="2">
      <c r="A2" s="5" t="inlineStr">
        <is>
          <t>C-OEMN</t>
        </is>
      </c>
      <c r="B2" s="5" t="n">
        <v>14820</v>
      </c>
      <c r="C2" s="5" t="n">
        <v>17.8</v>
      </c>
      <c r="D2" s="5" t="n">
        <v>82.7</v>
      </c>
      <c r="E2" s="5">
        <f>ROUND(D2/B2*100,2)</f>
        <v/>
      </c>
    </row>
    <row r="3">
      <c r="A3" s="5" t="inlineStr">
        <is>
          <t>C-RIBE</t>
        </is>
      </c>
      <c r="B3" s="5" t="n">
        <v>6240</v>
      </c>
      <c r="C3" s="5" t="n">
        <v>14.1</v>
      </c>
      <c r="D3" s="5" t="n">
        <v>27.1</v>
      </c>
      <c r="E3" s="5">
        <f>ROUND(D3/B3*100,2)</f>
        <v/>
      </c>
    </row>
    <row r="4">
      <c r="A4" s="5" t="inlineStr">
        <is>
          <t>C-LEIZ</t>
        </is>
      </c>
      <c r="B4" s="5" t="n">
        <v>4710</v>
      </c>
      <c r="C4" s="5" t="n">
        <v>15.6</v>
      </c>
      <c r="D4" s="5" t="n">
        <v>17</v>
      </c>
      <c r="E4" s="5">
        <f>ROUND(D4/B4*100,2)</f>
        <v/>
      </c>
    </row>
    <row r="7">
      <c r="A7" t="inlineStr">
        <is>
          <t>Nota: los cargos de OEM Norte incluyen gastos de gestión de reclamaciones en características CC.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Dirección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Dirección</cp:lastModifiedBy>
</cp:coreProperties>
</file>